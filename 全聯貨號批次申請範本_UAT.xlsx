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我的雲端硬碟\全聯\Project\新預購\00企劃\批次提報\"/>
    </mc:Choice>
  </mc:AlternateContent>
  <xr:revisionPtr revIDLastSave="0" documentId="13_ncr:1_{BFCE785A-8A7A-4D2F-8DAB-00DA8DDBFFDC}" xr6:coauthVersionLast="47" xr6:coauthVersionMax="47" xr10:uidLastSave="{00000000-0000-0000-0000-000000000000}"/>
  <bookViews>
    <workbookView xWindow="-108" yWindow="-108" windowWidth="23256" windowHeight="13896" xr2:uid="{D7D6743F-4502-4948-8EC2-7833D446D963}"/>
  </bookViews>
  <sheets>
    <sheet name="申請全聯貨號主表" sheetId="1" r:id="rId1"/>
    <sheet name="商品圖片" sheetId="2" r:id="rId2"/>
    <sheet name="提報參數(隱藏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" i="2" l="1"/>
  <c r="J1" i="2"/>
  <c r="AQ1" i="1"/>
  <c r="AP1" i="1"/>
  <c r="A1" i="2"/>
  <c r="B1" i="2" s="1"/>
  <c r="C1" i="2" s="1"/>
  <c r="D1" i="2" s="1"/>
  <c r="E1" i="2" s="1"/>
  <c r="F1" i="2" s="1"/>
  <c r="G1" i="2" s="1"/>
  <c r="H1" i="2" s="1"/>
  <c r="I1" i="2" s="1"/>
  <c r="M1" i="2" s="1"/>
  <c r="N1" i="2" s="1"/>
  <c r="B1" i="1"/>
  <c r="C1" i="1" s="1"/>
  <c r="D1" i="1" s="1"/>
  <c r="E1" i="1" s="1"/>
  <c r="F1" i="1" s="1"/>
  <c r="G1" i="1" s="1"/>
  <c r="H1" i="1" l="1"/>
  <c r="I1" i="1" s="1"/>
  <c r="J1" i="1" l="1"/>
  <c r="K1" i="1" s="1"/>
  <c r="L1" i="1" l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</calcChain>
</file>

<file path=xl/sharedStrings.xml><?xml version="1.0" encoding="utf-8"?>
<sst xmlns="http://schemas.openxmlformats.org/spreadsheetml/2006/main" count="176" uniqueCount="118">
  <si>
    <t>自編流水號</t>
    <phoneticPr fontId="1" type="noConversion"/>
  </si>
  <si>
    <t>0001</t>
    <phoneticPr fontId="1" type="noConversion"/>
  </si>
  <si>
    <t>1234</t>
    <phoneticPr fontId="1" type="noConversion"/>
  </si>
  <si>
    <t>12324567890123</t>
    <phoneticPr fontId="1" type="noConversion"/>
  </si>
  <si>
    <t>福利熊棒棒文具組</t>
    <phoneticPr fontId="1" type="noConversion"/>
  </si>
  <si>
    <t>上學專用</t>
    <phoneticPr fontId="1" type="noConversion"/>
  </si>
  <si>
    <t>AB123</t>
    <phoneticPr fontId="1" type="noConversion"/>
  </si>
  <si>
    <t>組</t>
    <phoneticPr fontId="1" type="noConversion"/>
  </si>
  <si>
    <t>1</t>
    <phoneticPr fontId="1" type="noConversion"/>
  </si>
  <si>
    <t>重量或容量
(限數字)</t>
    <phoneticPr fontId="1" type="noConversion"/>
  </si>
  <si>
    <t>入數的單位
(文字)</t>
    <phoneticPr fontId="1" type="noConversion"/>
  </si>
  <si>
    <t>ITF 
外箱條碼</t>
    <phoneticPr fontId="1" type="noConversion"/>
  </si>
  <si>
    <t>箱入數
(限數字)</t>
    <phoneticPr fontId="1" type="noConversion"/>
  </si>
  <si>
    <t>物流費率
(限0~30.00)</t>
    <phoneticPr fontId="1" type="noConversion"/>
  </si>
  <si>
    <t>商品材積-長
(CM)</t>
    <phoneticPr fontId="1" type="noConversion"/>
  </si>
  <si>
    <t>商品材積-寬
(CM)</t>
    <phoneticPr fontId="1" type="noConversion"/>
  </si>
  <si>
    <t>商品材積-高
(CM)</t>
    <phoneticPr fontId="1" type="noConversion"/>
  </si>
  <si>
    <t>商品材積-重量
(KG)</t>
    <phoneticPr fontId="1" type="noConversion"/>
  </si>
  <si>
    <t>Apple</t>
  </si>
  <si>
    <t>0</t>
    <phoneticPr fontId="1" type="noConversion"/>
  </si>
  <si>
    <t>1000</t>
    <phoneticPr fontId="1" type="noConversion"/>
  </si>
  <si>
    <t>980</t>
    <phoneticPr fontId="1" type="noConversion"/>
  </si>
  <si>
    <t>500</t>
    <phoneticPr fontId="1" type="noConversion"/>
  </si>
  <si>
    <t>10</t>
    <phoneticPr fontId="1" type="noConversion"/>
  </si>
  <si>
    <t>個</t>
    <phoneticPr fontId="1" type="noConversion"/>
  </si>
  <si>
    <t>0000000000000</t>
    <phoneticPr fontId="1" type="noConversion"/>
  </si>
  <si>
    <t>3</t>
    <phoneticPr fontId="1" type="noConversion"/>
  </si>
  <si>
    <t>12</t>
    <phoneticPr fontId="1" type="noConversion"/>
  </si>
  <si>
    <t>99999</t>
    <phoneticPr fontId="1" type="noConversion"/>
  </si>
  <si>
    <t>20</t>
    <phoneticPr fontId="1" type="noConversion"/>
  </si>
  <si>
    <t>25</t>
    <phoneticPr fontId="1" type="noConversion"/>
  </si>
  <si>
    <t>1.5</t>
    <phoneticPr fontId="1" type="noConversion"/>
  </si>
  <si>
    <t>0.8</t>
    <phoneticPr fontId="1" type="noConversion"/>
  </si>
  <si>
    <t>勿重壓</t>
    <phoneticPr fontId="1" type="noConversion"/>
  </si>
  <si>
    <t>贈福利熊扭蛋</t>
    <phoneticPr fontId="1" type="noConversion"/>
  </si>
  <si>
    <t>製造商</t>
    <phoneticPr fontId="1" type="noConversion"/>
  </si>
  <si>
    <t>全聯獨家
(1是, 0否)</t>
    <phoneticPr fontId="1" type="noConversion"/>
  </si>
  <si>
    <t>廣告圖
(白底去背圖)
600*600px或1000*1000px，50KB~1000KB</t>
    <phoneticPr fontId="1" type="noConversion"/>
  </si>
  <si>
    <t>社群圖
600*337px，600KB</t>
    <phoneticPr fontId="1" type="noConversion"/>
  </si>
  <si>
    <t>111.jpg</t>
    <phoneticPr fontId="1" type="noConversion"/>
  </si>
  <si>
    <t>abc.jpg</t>
    <phoneticPr fontId="1" type="noConversion"/>
  </si>
  <si>
    <t>abcs.jpg</t>
    <phoneticPr fontId="1" type="noConversion"/>
  </si>
  <si>
    <t>條碼
(唯一值不可重複)</t>
    <phoneticPr fontId="1" type="noConversion"/>
  </si>
  <si>
    <t>全聯分類</t>
    <phoneticPr fontId="1" type="noConversion"/>
  </si>
  <si>
    <t>A&gt;B&gt;C&gt;D1_63010101(應稅_常溫)</t>
  </si>
  <si>
    <t>A&gt;B&gt;C&gt;D1_63010101(應稅_常溫)</t>
    <phoneticPr fontId="1" type="noConversion"/>
  </si>
  <si>
    <t>A&gt;B&gt;C&gt;D2_63010102(應稅_常溫)</t>
    <phoneticPr fontId="1" type="noConversion"/>
  </si>
  <si>
    <t>A&gt;B&gt;C&gt;D3_63010102(應稅_常溫)</t>
    <phoneticPr fontId="1" type="noConversion"/>
  </si>
  <si>
    <t>A&gt;B&gt;C&gt;D4_63010102(應免稅_常溫)</t>
    <phoneticPr fontId="1" type="noConversion"/>
  </si>
  <si>
    <t>獨賣福利熊棒棒文具組</t>
    <phoneticPr fontId="1" type="noConversion"/>
  </si>
  <si>
    <t>規格敘述
(型號尺寸組合)</t>
    <phoneticPr fontId="1" type="noConversion"/>
  </si>
  <si>
    <t>口味型號</t>
    <phoneticPr fontId="1" type="noConversion"/>
  </si>
  <si>
    <t>品牌</t>
    <phoneticPr fontId="1" type="noConversion"/>
  </si>
  <si>
    <t>Apple</t>
    <phoneticPr fontId="1" type="noConversion"/>
  </si>
  <si>
    <t>Banana香蕉</t>
    <phoneticPr fontId="1" type="noConversion"/>
  </si>
  <si>
    <t>Combo康伯</t>
    <phoneticPr fontId="1" type="noConversion"/>
  </si>
  <si>
    <t>Daikin大金</t>
    <phoneticPr fontId="1" type="noConversion"/>
  </si>
  <si>
    <t>發票品名
(限14字元)</t>
    <phoneticPr fontId="1" type="noConversion"/>
  </si>
  <si>
    <t>銷項稅別
0內含，2免稅</t>
    <phoneticPr fontId="1" type="noConversion"/>
  </si>
  <si>
    <t>原始市價
(限整數)</t>
    <phoneticPr fontId="1" type="noConversion"/>
  </si>
  <si>
    <t>原始售價
(限整數)</t>
    <phoneticPr fontId="1" type="noConversion"/>
  </si>
  <si>
    <t>原始成本
(限小數2位)</t>
    <phoneticPr fontId="1" type="noConversion"/>
  </si>
  <si>
    <t>原始折讓
(限小數2位)</t>
    <phoneticPr fontId="1" type="noConversion"/>
  </si>
  <si>
    <t>重量或容量
的單位(文字)</t>
    <phoneticPr fontId="1" type="noConversion"/>
  </si>
  <si>
    <t>保存天數
(1年=365天，無時效請輸入99999)</t>
    <phoneticPr fontId="1" type="noConversion"/>
  </si>
  <si>
    <t>2026-08-20</t>
    <phoneticPr fontId="1" type="noConversion"/>
  </si>
  <si>
    <t>2.5</t>
    <phoneticPr fontId="1" type="noConversion"/>
  </si>
  <si>
    <t>商品保險詢問
(全電商專用)
(1是, 0否)</t>
    <phoneticPr fontId="1" type="noConversion"/>
  </si>
  <si>
    <t xml:space="preserve">全聯供應商代碼 </t>
    <phoneticPr fontId="1" type="noConversion"/>
  </si>
  <si>
    <t>商品名稱
(內部作業用)</t>
    <phoneticPr fontId="1" type="noConversion"/>
  </si>
  <si>
    <t>商品副標
(全電商專用)</t>
    <phoneticPr fontId="1" type="noConversion"/>
  </si>
  <si>
    <t>配送注意事項
(全電商專用)</t>
    <phoneticPr fontId="1" type="noConversion"/>
  </si>
  <si>
    <t>贈品敘述
(全電商專用)</t>
    <phoneticPr fontId="1" type="noConversion"/>
  </si>
  <si>
    <t>商品介紹
(全電商專用)
html格式</t>
    <phoneticPr fontId="1" type="noConversion"/>
  </si>
  <si>
    <t>預設備貨天數
(建議宅配3天/店取5天)</t>
    <phoneticPr fontId="1" type="noConversion"/>
  </si>
  <si>
    <t>取貨方式
1宅配 2門市</t>
    <phoneticPr fontId="1" type="noConversion"/>
  </si>
  <si>
    <t>銷售入數
(限數字)</t>
    <phoneticPr fontId="1" type="noConversion"/>
  </si>
  <si>
    <t>出貨方式
1入庫 2自送</t>
    <phoneticPr fontId="1" type="noConversion"/>
  </si>
  <si>
    <t>入庫必填</t>
    <phoneticPr fontId="1" type="noConversion"/>
  </si>
  <si>
    <t>請貼上商品介紹的HTML語法
若有圖片寫上檔名即可，例如
AAA.jpg</t>
    <phoneticPr fontId="1" type="noConversion"/>
  </si>
  <si>
    <t>主圖2</t>
    <phoneticPr fontId="1" type="noConversion"/>
  </si>
  <si>
    <t>主圖3</t>
    <phoneticPr fontId="1" type="noConversion"/>
  </si>
  <si>
    <t>主圖4</t>
    <phoneticPr fontId="1" type="noConversion"/>
  </si>
  <si>
    <t>主圖5</t>
    <phoneticPr fontId="1" type="noConversion"/>
  </si>
  <si>
    <t>主圖6</t>
    <phoneticPr fontId="1" type="noConversion"/>
  </si>
  <si>
    <t>主圖7</t>
    <phoneticPr fontId="1" type="noConversion"/>
  </si>
  <si>
    <t>主圖8</t>
    <phoneticPr fontId="1" type="noConversion"/>
  </si>
  <si>
    <t>自編流水號
(必須和主表一致)</t>
    <phoneticPr fontId="1" type="noConversion"/>
  </si>
  <si>
    <t>主圖1
1~8皆為600*600px或1000*1000px，20KB~1000KB。</t>
    <phoneticPr fontId="1" type="noConversion"/>
  </si>
  <si>
    <t>活動檔期圖
600*337px，600KB</t>
    <phoneticPr fontId="1" type="noConversion"/>
  </si>
  <si>
    <t>必填</t>
  </si>
  <si>
    <t>必填</t>
    <phoneticPr fontId="1" type="noConversion"/>
  </si>
  <si>
    <t>選填</t>
  </si>
  <si>
    <t>選填</t>
    <phoneticPr fontId="1" type="noConversion"/>
  </si>
  <si>
    <t>選填(若空白取主圖1)</t>
    <phoneticPr fontId="1" type="noConversion"/>
  </si>
  <si>
    <t>選填(若空白取社群圖)</t>
    <phoneticPr fontId="1" type="noConversion"/>
  </si>
  <si>
    <t>必填(儘量白底去背圖)</t>
    <phoneticPr fontId="1" type="noConversion"/>
  </si>
  <si>
    <t>初始入庫日
(大於申請日, 入庫必填填)
YYYY-MM-DD</t>
  </si>
  <si>
    <t>小學新生必填備</t>
  </si>
  <si>
    <t>全聯分類
(請選填擇下拉清單)</t>
  </si>
  <si>
    <t>商品特色</t>
    <phoneticPr fontId="1" type="noConversion"/>
  </si>
  <si>
    <t>純文字說明</t>
    <phoneticPr fontId="1" type="noConversion"/>
  </si>
  <si>
    <t>商品銷售名稱
(全電商/POP用)</t>
    <phoneticPr fontId="1" type="noConversion"/>
  </si>
  <si>
    <t>必填, 限56字</t>
    <phoneticPr fontId="1" type="noConversion"/>
  </si>
  <si>
    <t>必填, 限9字</t>
    <phoneticPr fontId="1" type="noConversion"/>
  </si>
  <si>
    <t>必填(入庫只能2)</t>
    <phoneticPr fontId="1" type="noConversion"/>
  </si>
  <si>
    <t>商品影片
限youtube網址
https://www.youtube.com/watch?v=值</t>
    <phoneticPr fontId="1" type="noConversion"/>
  </si>
  <si>
    <t>p67W66bny94
PRJDzbwbTOM</t>
    <phoneticPr fontId="1" type="noConversion"/>
  </si>
  <si>
    <t>選填, 限3列以內</t>
    <phoneticPr fontId="1" type="noConversion"/>
  </si>
  <si>
    <t>單位
(台, 組, 包, 個...)</t>
    <phoneticPr fontId="1" type="noConversion"/>
  </si>
  <si>
    <t>商品標籤
快速複製
平台編號</t>
    <phoneticPr fontId="1" type="noConversion"/>
  </si>
  <si>
    <t>00313255</t>
    <phoneticPr fontId="1" type="noConversion"/>
  </si>
  <si>
    <t>商品標籤
填寫方式
1自填 2小幫手 3快速複製</t>
    <phoneticPr fontId="1" type="noConversion"/>
  </si>
  <si>
    <t>選填(42.選3必填)</t>
    <phoneticPr fontId="1" type="noConversion"/>
  </si>
  <si>
    <t>選填(指定廠商才可啓用)</t>
    <phoneticPr fontId="1" type="noConversion"/>
  </si>
  <si>
    <t>商品尺碼或規格圖</t>
    <phoneticPr fontId="1" type="noConversion"/>
  </si>
  <si>
    <t>試穿建議圖</t>
    <phoneticPr fontId="1" type="noConversion"/>
  </si>
  <si>
    <t>=K1+1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</si>
</sst>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6" x14ac:knownFonts="1">
    <font>
      <sz val="11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1"/>
      <color rgb="FF006100"/>
      <name val="微軟正黑體"/>
      <family val="2"/>
      <charset val="136"/>
    </font>
    <font>
      <sz val="11"/>
      <color rgb="FF9C5700"/>
      <name val="微軟正黑體"/>
      <family val="2"/>
      <charset val="136"/>
    </font>
    <font>
      <sz val="11"/>
      <color theme="1"/>
      <name val="微軟正黑體"/>
      <family val="2"/>
      <charset val="136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0" fillId="0" borderId="1" xfId="0" applyNumberFormat="1" applyBorder="1">
      <alignment vertical="center"/>
    </xf>
    <xf numFmtId="49" fontId="2" fillId="0" borderId="1" xfId="0" applyNumberFormat="1" applyFont="1" applyFill="1" applyBorder="1" applyAlignment="1">
      <alignment horizontal="center" vertical="center"/>
    </xf>
    <xf numFmtId="0" fontId="2" fillId="5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 wrapText="1"/>
    </xf>
    <xf numFmtId="0" fontId="2" fillId="6" borderId="1" xfId="0" applyNumberFormat="1" applyFont="1" applyFill="1" applyBorder="1" applyAlignment="1">
      <alignment horizontal="center" vertical="center"/>
    </xf>
    <xf numFmtId="49" fontId="2" fillId="6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/>
    </xf>
    <xf numFmtId="49" fontId="0" fillId="0" borderId="0" xfId="0" applyNumberFormat="1" applyBorder="1">
      <alignment vertical="center"/>
    </xf>
    <xf numFmtId="49" fontId="0" fillId="0" borderId="0" xfId="0" applyNumberFormat="1" applyFill="1" applyBorder="1">
      <alignment vertical="center"/>
    </xf>
    <xf numFmtId="49" fontId="5" fillId="2" borderId="1" xfId="2" applyNumberFormat="1" applyFont="1" applyFill="1" applyBorder="1" applyAlignment="1">
      <alignment horizontal="center" vertical="center" wrapText="1"/>
    </xf>
    <xf numFmtId="49" fontId="5" fillId="2" borderId="1" xfId="2" applyNumberFormat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vertical="center" wrapText="1"/>
    </xf>
    <xf numFmtId="49" fontId="5" fillId="5" borderId="1" xfId="2" applyNumberFormat="1" applyFont="1" applyFill="1" applyBorder="1" applyAlignment="1">
      <alignment vertical="center" wrapText="1"/>
    </xf>
    <xf numFmtId="49" fontId="0" fillId="2" borderId="1" xfId="0" applyNumberForma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7" borderId="1" xfId="0" applyNumberFormat="1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 wrapText="1"/>
    </xf>
    <xf numFmtId="49" fontId="2" fillId="7" borderId="1" xfId="0" applyNumberFormat="1" applyFont="1" applyFill="1" applyBorder="1" applyAlignment="1">
      <alignment horizontal="center" vertical="center"/>
    </xf>
    <xf numFmtId="0" fontId="2" fillId="8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 wrapText="1"/>
    </xf>
    <xf numFmtId="49" fontId="2" fillId="8" borderId="1" xfId="0" applyNumberFormat="1" applyFont="1" applyFill="1" applyBorder="1" applyAlignment="1">
      <alignment horizontal="center" vertical="center"/>
    </xf>
    <xf numFmtId="49" fontId="2" fillId="0" borderId="1" xfId="0" quotePrefix="1" applyNumberFormat="1" applyFont="1" applyFill="1" applyBorder="1" applyAlignment="1">
      <alignment horizontal="center" vertical="center"/>
    </xf>
  </cellXfs>
  <cellStyles count="3">
    <cellStyle name="一般" xfId="0" builtinId="0"/>
    <cellStyle name="中等" xfId="2" builtinId="28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1E8CF-D0C5-40B4-9AAE-8B7BAC6EF69B}">
  <dimension ref="A1:AQ4"/>
  <sheetViews>
    <sheetView tabSelected="1" zoomScale="70" zoomScaleNormal="70" workbookViewId="0">
      <selection activeCell="AB19" sqref="AB19"/>
    </sheetView>
  </sheetViews>
  <sheetFormatPr defaultRowHeight="15.6" x14ac:dyDescent="0.3"/>
  <cols>
    <col min="1" max="1" width="11.69921875" style="5" bestFit="1" customWidth="1"/>
    <col min="2" max="2" width="16.796875" style="5" bestFit="1" customWidth="1"/>
    <col min="3" max="3" width="18.8984375" style="5" bestFit="1" customWidth="1"/>
    <col min="4" max="4" width="35.09765625" style="5" bestFit="1" customWidth="1"/>
    <col min="5" max="5" width="18.3984375" style="5" bestFit="1" customWidth="1"/>
    <col min="6" max="6" width="15.19921875" style="5" bestFit="1" customWidth="1"/>
    <col min="7" max="7" width="9.69921875" style="5" bestFit="1" customWidth="1"/>
    <col min="8" max="8" width="19.09765625" style="5" bestFit="1" customWidth="1"/>
    <col min="9" max="9" width="12.3984375" style="5" bestFit="1" customWidth="1"/>
    <col min="10" max="10" width="7.69921875" style="5" bestFit="1" customWidth="1"/>
    <col min="11" max="11" width="11.69921875" style="5" bestFit="1" customWidth="1"/>
    <col min="12" max="12" width="13" style="5" bestFit="1" customWidth="1"/>
    <col min="13" max="13" width="8.796875" style="5" bestFit="1" customWidth="1"/>
    <col min="14" max="14" width="11.69921875" style="5" bestFit="1" customWidth="1"/>
    <col min="15" max="15" width="10.09765625" style="5" bestFit="1" customWidth="1"/>
    <col min="16" max="16" width="18.3984375" style="5" bestFit="1" customWidth="1"/>
    <col min="17" max="17" width="14.69921875" style="5" customWidth="1"/>
    <col min="18" max="18" width="9.69921875" style="5" bestFit="1" customWidth="1"/>
    <col min="19" max="19" width="9.3984375" style="5" bestFit="1" customWidth="1"/>
    <col min="20" max="21" width="12" style="5" bestFit="1" customWidth="1"/>
    <col min="22" max="22" width="12.5" style="5" customWidth="1"/>
    <col min="23" max="23" width="15.69921875" style="5" bestFit="1" customWidth="1"/>
    <col min="24" max="24" width="17.59765625" style="5" bestFit="1" customWidth="1"/>
    <col min="25" max="25" width="10" style="5" bestFit="1" customWidth="1"/>
    <col min="26" max="26" width="9.69921875" style="5" bestFit="1" customWidth="1"/>
    <col min="27" max="27" width="21.19921875" style="5" bestFit="1" customWidth="1"/>
    <col min="28" max="30" width="12.69921875" style="5" customWidth="1"/>
    <col min="31" max="31" width="14.796875" style="5" bestFit="1" customWidth="1"/>
    <col min="32" max="32" width="17" style="5" customWidth="1"/>
    <col min="33" max="33" width="14.5" style="5" bestFit="1" customWidth="1"/>
    <col min="34" max="34" width="22.796875" style="5" bestFit="1" customWidth="1"/>
    <col min="35" max="35" width="16.09765625" style="5" bestFit="1" customWidth="1"/>
    <col min="36" max="36" width="29.3984375" style="5" bestFit="1" customWidth="1"/>
    <col min="37" max="37" width="29.3984375" style="5" customWidth="1"/>
    <col min="38" max="38" width="12.796875" style="5" customWidth="1"/>
    <col min="39" max="40" width="14" style="5" bestFit="1" customWidth="1"/>
    <col min="41" max="41" width="23.296875" style="5" customWidth="1"/>
    <col min="42" max="42" width="25.796875" style="5" customWidth="1"/>
    <col min="43" max="43" width="16.69921875" style="5" customWidth="1"/>
    <col min="44" max="16384" width="8.796875" style="5"/>
  </cols>
  <sheetData>
    <row r="1" spans="1:43" s="2" customFormat="1" x14ac:dyDescent="0.3">
      <c r="A1" s="1" t="s">
        <v>8</v>
      </c>
      <c r="B1" s="1">
        <f>A1+1</f>
        <v>2</v>
      </c>
      <c r="C1" s="1">
        <f t="shared" ref="C1:U1" si="0">B1+1</f>
        <v>3</v>
      </c>
      <c r="D1" s="1">
        <f t="shared" si="0"/>
        <v>4</v>
      </c>
      <c r="E1" s="1">
        <f>D1+1</f>
        <v>5</v>
      </c>
      <c r="F1" s="1">
        <f>E1+1</f>
        <v>6</v>
      </c>
      <c r="G1" s="1">
        <f>F1+1</f>
        <v>7</v>
      </c>
      <c r="H1" s="1">
        <f t="shared" si="0"/>
        <v>8</v>
      </c>
      <c r="I1" s="1">
        <f t="shared" si="0"/>
        <v>9</v>
      </c>
      <c r="J1" s="1">
        <f t="shared" si="0"/>
        <v>10</v>
      </c>
      <c r="K1" s="1">
        <f t="shared" si="0"/>
        <v>11</v>
      </c>
      <c r="L1" s="1">
        <f>K1+1</f>
        <v>12</v>
      </c>
      <c r="M1" s="1">
        <f>L1+1</f>
        <v>13</v>
      </c>
      <c r="N1" s="1">
        <f>M1+1</f>
        <v>14</v>
      </c>
      <c r="O1" s="1">
        <f>N1+1</f>
        <v>15</v>
      </c>
      <c r="P1" s="25">
        <f>O1+1</f>
        <v>16</v>
      </c>
      <c r="Q1" s="25">
        <f>P1+1</f>
        <v>17</v>
      </c>
      <c r="R1" s="25">
        <f t="shared" si="0"/>
        <v>18</v>
      </c>
      <c r="S1" s="25">
        <f t="shared" si="0"/>
        <v>19</v>
      </c>
      <c r="T1" s="25">
        <f t="shared" si="0"/>
        <v>20</v>
      </c>
      <c r="U1" s="25">
        <f t="shared" si="0"/>
        <v>21</v>
      </c>
      <c r="V1" s="9">
        <f>U1+1</f>
        <v>22</v>
      </c>
      <c r="W1" s="9">
        <f t="shared" ref="W1:AA1" si="1">V1+1</f>
        <v>23</v>
      </c>
      <c r="X1" s="9">
        <f t="shared" si="1"/>
        <v>24</v>
      </c>
      <c r="Y1" s="9">
        <f t="shared" si="1"/>
        <v>25</v>
      </c>
      <c r="Z1" s="9">
        <f t="shared" si="1"/>
        <v>26</v>
      </c>
      <c r="AA1" s="9">
        <f t="shared" si="1"/>
        <v>27</v>
      </c>
      <c r="AB1" s="9">
        <f>AA1+1</f>
        <v>28</v>
      </c>
      <c r="AC1" s="9">
        <f>AB1+1</f>
        <v>29</v>
      </c>
      <c r="AD1" s="9">
        <f>AC1+1</f>
        <v>30</v>
      </c>
      <c r="AE1" s="9">
        <f>AD1+1</f>
        <v>31</v>
      </c>
      <c r="AF1" s="11">
        <f>AE1+1</f>
        <v>32</v>
      </c>
      <c r="AG1" s="11">
        <f t="shared" ref="AG1:AO1" si="2">AF1+1</f>
        <v>33</v>
      </c>
      <c r="AH1" s="11">
        <f t="shared" si="2"/>
        <v>34</v>
      </c>
      <c r="AI1" s="11">
        <f t="shared" si="2"/>
        <v>35</v>
      </c>
      <c r="AJ1" s="11">
        <f t="shared" si="2"/>
        <v>36</v>
      </c>
      <c r="AK1" s="11">
        <f t="shared" si="2"/>
        <v>37</v>
      </c>
      <c r="AL1" s="11">
        <f t="shared" si="2"/>
        <v>38</v>
      </c>
      <c r="AM1" s="11">
        <f>AL1+1</f>
        <v>39</v>
      </c>
      <c r="AN1" s="11">
        <f t="shared" si="2"/>
        <v>40</v>
      </c>
      <c r="AO1" s="11">
        <f t="shared" si="2"/>
        <v>41</v>
      </c>
      <c r="AP1" s="28">
        <f>AO1+1</f>
        <v>42</v>
      </c>
      <c r="AQ1" s="28">
        <f>AP1+1</f>
        <v>43</v>
      </c>
    </row>
    <row r="2" spans="1:43" ht="62.4" x14ac:dyDescent="0.3">
      <c r="A2" s="3" t="s">
        <v>0</v>
      </c>
      <c r="B2" s="3" t="s">
        <v>68</v>
      </c>
      <c r="C2" s="4" t="s">
        <v>42</v>
      </c>
      <c r="D2" s="4" t="s">
        <v>99</v>
      </c>
      <c r="E2" s="4" t="s">
        <v>69</v>
      </c>
      <c r="F2" s="4" t="s">
        <v>50</v>
      </c>
      <c r="G2" s="3" t="s">
        <v>51</v>
      </c>
      <c r="H2" s="4" t="s">
        <v>109</v>
      </c>
      <c r="I2" s="4" t="s">
        <v>52</v>
      </c>
      <c r="J2" s="3" t="s">
        <v>35</v>
      </c>
      <c r="K2" s="4" t="s">
        <v>9</v>
      </c>
      <c r="L2" s="4" t="s">
        <v>63</v>
      </c>
      <c r="M2" s="4" t="s">
        <v>76</v>
      </c>
      <c r="N2" s="4" t="s">
        <v>10</v>
      </c>
      <c r="O2" s="4" t="s">
        <v>36</v>
      </c>
      <c r="P2" s="26" t="s">
        <v>57</v>
      </c>
      <c r="Q2" s="26" t="s">
        <v>58</v>
      </c>
      <c r="R2" s="26" t="s">
        <v>59</v>
      </c>
      <c r="S2" s="26" t="s">
        <v>60</v>
      </c>
      <c r="T2" s="26" t="s">
        <v>61</v>
      </c>
      <c r="U2" s="26" t="s">
        <v>62</v>
      </c>
      <c r="V2" s="10" t="s">
        <v>77</v>
      </c>
      <c r="W2" s="10" t="s">
        <v>97</v>
      </c>
      <c r="X2" s="10" t="s">
        <v>11</v>
      </c>
      <c r="Y2" s="10" t="s">
        <v>13</v>
      </c>
      <c r="Z2" s="10" t="s">
        <v>12</v>
      </c>
      <c r="AA2" s="10" t="s">
        <v>64</v>
      </c>
      <c r="AB2" s="10" t="s">
        <v>14</v>
      </c>
      <c r="AC2" s="10" t="s">
        <v>15</v>
      </c>
      <c r="AD2" s="10" t="s">
        <v>16</v>
      </c>
      <c r="AE2" s="10" t="s">
        <v>17</v>
      </c>
      <c r="AF2" s="12" t="s">
        <v>75</v>
      </c>
      <c r="AG2" s="12" t="s">
        <v>74</v>
      </c>
      <c r="AH2" s="12" t="s">
        <v>102</v>
      </c>
      <c r="AI2" s="12" t="s">
        <v>70</v>
      </c>
      <c r="AJ2" s="12" t="s">
        <v>73</v>
      </c>
      <c r="AK2" s="12" t="s">
        <v>106</v>
      </c>
      <c r="AL2" s="12" t="s">
        <v>100</v>
      </c>
      <c r="AM2" s="12" t="s">
        <v>71</v>
      </c>
      <c r="AN2" s="12" t="s">
        <v>72</v>
      </c>
      <c r="AO2" s="12" t="s">
        <v>67</v>
      </c>
      <c r="AP2" s="29" t="s">
        <v>112</v>
      </c>
      <c r="AQ2" s="29" t="s">
        <v>110</v>
      </c>
    </row>
    <row r="3" spans="1:43" ht="31.2" x14ac:dyDescent="0.3">
      <c r="A3" s="3" t="s">
        <v>90</v>
      </c>
      <c r="B3" s="3" t="s">
        <v>90</v>
      </c>
      <c r="C3" s="3" t="s">
        <v>90</v>
      </c>
      <c r="D3" s="3" t="s">
        <v>90</v>
      </c>
      <c r="E3" s="3" t="s">
        <v>90</v>
      </c>
      <c r="F3" s="3" t="s">
        <v>90</v>
      </c>
      <c r="G3" s="3" t="s">
        <v>92</v>
      </c>
      <c r="H3" s="3" t="s">
        <v>90</v>
      </c>
      <c r="I3" s="3" t="s">
        <v>90</v>
      </c>
      <c r="J3" s="3" t="s">
        <v>90</v>
      </c>
      <c r="K3" s="3" t="s">
        <v>90</v>
      </c>
      <c r="L3" s="3" t="s">
        <v>90</v>
      </c>
      <c r="M3" s="3" t="s">
        <v>90</v>
      </c>
      <c r="N3" s="3" t="s">
        <v>90</v>
      </c>
      <c r="O3" s="3" t="s">
        <v>90</v>
      </c>
      <c r="P3" s="27" t="s">
        <v>90</v>
      </c>
      <c r="Q3" s="27" t="s">
        <v>90</v>
      </c>
      <c r="R3" s="27" t="s">
        <v>90</v>
      </c>
      <c r="S3" s="27" t="s">
        <v>90</v>
      </c>
      <c r="T3" s="27" t="s">
        <v>90</v>
      </c>
      <c r="U3" s="27" t="s">
        <v>90</v>
      </c>
      <c r="V3" s="10" t="s">
        <v>90</v>
      </c>
      <c r="W3" s="10" t="s">
        <v>78</v>
      </c>
      <c r="X3" s="10" t="s">
        <v>78</v>
      </c>
      <c r="Y3" s="10" t="s">
        <v>78</v>
      </c>
      <c r="Z3" s="10" t="s">
        <v>78</v>
      </c>
      <c r="AA3" s="10" t="s">
        <v>90</v>
      </c>
      <c r="AB3" s="10" t="s">
        <v>90</v>
      </c>
      <c r="AC3" s="10" t="s">
        <v>90</v>
      </c>
      <c r="AD3" s="10" t="s">
        <v>90</v>
      </c>
      <c r="AE3" s="10" t="s">
        <v>90</v>
      </c>
      <c r="AF3" s="12" t="s">
        <v>105</v>
      </c>
      <c r="AG3" s="12" t="s">
        <v>91</v>
      </c>
      <c r="AH3" s="12" t="s">
        <v>103</v>
      </c>
      <c r="AI3" s="12" t="s">
        <v>104</v>
      </c>
      <c r="AJ3" s="12" t="s">
        <v>90</v>
      </c>
      <c r="AK3" s="12" t="s">
        <v>108</v>
      </c>
      <c r="AL3" s="12" t="s">
        <v>91</v>
      </c>
      <c r="AM3" s="12" t="s">
        <v>92</v>
      </c>
      <c r="AN3" s="12" t="s">
        <v>92</v>
      </c>
      <c r="AO3" s="12" t="s">
        <v>114</v>
      </c>
      <c r="AP3" s="30" t="s">
        <v>91</v>
      </c>
      <c r="AQ3" s="30" t="s">
        <v>113</v>
      </c>
    </row>
    <row r="4" spans="1:43" ht="46.8" x14ac:dyDescent="0.3">
      <c r="A4" s="6" t="s">
        <v>1</v>
      </c>
      <c r="B4" s="6" t="s">
        <v>2</v>
      </c>
      <c r="C4" s="6" t="s">
        <v>3</v>
      </c>
      <c r="D4" s="6" t="s">
        <v>44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18</v>
      </c>
      <c r="J4" s="6" t="s">
        <v>53</v>
      </c>
      <c r="K4" s="6" t="s">
        <v>23</v>
      </c>
      <c r="L4" s="6" t="s">
        <v>24</v>
      </c>
      <c r="M4" s="6" t="s">
        <v>8</v>
      </c>
      <c r="N4" s="6" t="s">
        <v>7</v>
      </c>
      <c r="O4" s="6" t="s">
        <v>19</v>
      </c>
      <c r="P4" s="8" t="s">
        <v>4</v>
      </c>
      <c r="Q4" s="8" t="s">
        <v>19</v>
      </c>
      <c r="R4" s="8" t="s">
        <v>20</v>
      </c>
      <c r="S4" s="8" t="s">
        <v>21</v>
      </c>
      <c r="T4" s="8" t="s">
        <v>22</v>
      </c>
      <c r="U4" s="8" t="s">
        <v>19</v>
      </c>
      <c r="V4" s="6" t="s">
        <v>8</v>
      </c>
      <c r="W4" s="6" t="s">
        <v>65</v>
      </c>
      <c r="X4" s="6" t="s">
        <v>25</v>
      </c>
      <c r="Y4" s="6" t="s">
        <v>66</v>
      </c>
      <c r="Z4" s="6" t="s">
        <v>27</v>
      </c>
      <c r="AA4" s="6" t="s">
        <v>28</v>
      </c>
      <c r="AB4" s="6" t="s">
        <v>29</v>
      </c>
      <c r="AC4" s="6" t="s">
        <v>30</v>
      </c>
      <c r="AD4" s="6" t="s">
        <v>31</v>
      </c>
      <c r="AE4" s="6" t="s">
        <v>32</v>
      </c>
      <c r="AF4" s="6" t="s">
        <v>8</v>
      </c>
      <c r="AG4" s="6" t="s">
        <v>26</v>
      </c>
      <c r="AH4" s="6" t="s">
        <v>49</v>
      </c>
      <c r="AI4" s="6" t="s">
        <v>98</v>
      </c>
      <c r="AJ4" s="13" t="s">
        <v>79</v>
      </c>
      <c r="AK4" s="23" t="s">
        <v>107</v>
      </c>
      <c r="AL4" s="6" t="s">
        <v>101</v>
      </c>
      <c r="AM4" s="6" t="s">
        <v>33</v>
      </c>
      <c r="AN4" s="6" t="s">
        <v>34</v>
      </c>
      <c r="AO4" s="24">
        <v>0</v>
      </c>
      <c r="AP4" s="8" t="s">
        <v>26</v>
      </c>
      <c r="AQ4" s="31" t="s">
        <v>111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FE78F65-854A-4676-BA3B-8CA50C998237}">
          <x14:formula1>
            <xm:f>'提報參數(隱藏)'!$A$1:$A$5</xm:f>
          </x14:formula1>
          <xm:sqref>D4</xm:sqref>
        </x14:dataValidation>
        <x14:dataValidation type="list" allowBlank="1" showInputMessage="1" showErrorMessage="1" xr:uid="{4BE498B3-2E65-48CB-A96F-CA0A474B1401}">
          <x14:formula1>
            <xm:f>'提報參數(隱藏)'!$B$1:$B$5</xm:f>
          </x14:formula1>
          <xm:sqref>I4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C746E-8A3A-4581-B6FD-DCA80DAD27F1}">
  <dimension ref="A1:N4"/>
  <sheetViews>
    <sheetView zoomScale="85" zoomScaleNormal="85" workbookViewId="0">
      <selection activeCell="I9" sqref="I9"/>
    </sheetView>
  </sheetViews>
  <sheetFormatPr defaultColWidth="36.8984375" defaultRowHeight="14.4" x14ac:dyDescent="0.3"/>
  <cols>
    <col min="1" max="1" width="16.5" style="15" bestFit="1" customWidth="1"/>
    <col min="2" max="2" width="21" style="14" bestFit="1" customWidth="1"/>
    <col min="3" max="11" width="20.69921875" style="14" customWidth="1"/>
    <col min="12" max="12" width="27.59765625" style="14" bestFit="1" customWidth="1"/>
    <col min="13" max="13" width="19" style="14" bestFit="1" customWidth="1"/>
    <col min="14" max="14" width="20.59765625" style="14" bestFit="1" customWidth="1"/>
    <col min="15" max="16384" width="36.8984375" style="14"/>
  </cols>
  <sheetData>
    <row r="1" spans="1:14" x14ac:dyDescent="0.3">
      <c r="A1" s="22">
        <f>1</f>
        <v>1</v>
      </c>
      <c r="B1" s="20">
        <f>A1+1</f>
        <v>2</v>
      </c>
      <c r="C1" s="20">
        <f t="shared" ref="C1:N1" si="0">B1+1</f>
        <v>3</v>
      </c>
      <c r="D1" s="20">
        <f t="shared" si="0"/>
        <v>4</v>
      </c>
      <c r="E1" s="20">
        <f t="shared" si="0"/>
        <v>5</v>
      </c>
      <c r="F1" s="20">
        <f t="shared" si="0"/>
        <v>6</v>
      </c>
      <c r="G1" s="20">
        <f t="shared" si="0"/>
        <v>7</v>
      </c>
      <c r="H1" s="20">
        <f t="shared" si="0"/>
        <v>8</v>
      </c>
      <c r="I1" s="20">
        <f t="shared" si="0"/>
        <v>9</v>
      </c>
      <c r="J1" s="20">
        <f t="shared" si="0"/>
        <v>10</v>
      </c>
      <c r="K1" s="20">
        <f t="shared" si="0"/>
        <v>11</v>
      </c>
      <c r="L1" s="21" t="s">
        <v>117</v>
      </c>
      <c r="M1" s="21" t="e">
        <f t="shared" si="0"/>
        <v>#VALUE!</v>
      </c>
      <c r="N1" s="21" t="e">
        <f t="shared" si="0"/>
        <v>#VALUE!</v>
      </c>
    </row>
    <row r="2" spans="1:14" ht="57.6" x14ac:dyDescent="0.3">
      <c r="A2" s="16" t="s">
        <v>87</v>
      </c>
      <c r="B2" s="17" t="s">
        <v>88</v>
      </c>
      <c r="C2" s="18" t="s">
        <v>80</v>
      </c>
      <c r="D2" s="18" t="s">
        <v>81</v>
      </c>
      <c r="E2" s="18" t="s">
        <v>82</v>
      </c>
      <c r="F2" s="18" t="s">
        <v>83</v>
      </c>
      <c r="G2" s="18" t="s">
        <v>84</v>
      </c>
      <c r="H2" s="18" t="s">
        <v>85</v>
      </c>
      <c r="I2" s="18" t="s">
        <v>86</v>
      </c>
      <c r="J2" s="18" t="s">
        <v>115</v>
      </c>
      <c r="K2" s="18" t="s">
        <v>116</v>
      </c>
      <c r="L2" s="19" t="s">
        <v>37</v>
      </c>
      <c r="M2" s="19" t="s">
        <v>38</v>
      </c>
      <c r="N2" s="19" t="s">
        <v>89</v>
      </c>
    </row>
    <row r="3" spans="1:14" x14ac:dyDescent="0.3">
      <c r="A3" s="16" t="s">
        <v>91</v>
      </c>
      <c r="B3" s="16" t="s">
        <v>96</v>
      </c>
      <c r="C3" s="18" t="s">
        <v>93</v>
      </c>
      <c r="D3" s="18" t="s">
        <v>93</v>
      </c>
      <c r="E3" s="18" t="s">
        <v>93</v>
      </c>
      <c r="F3" s="18" t="s">
        <v>93</v>
      </c>
      <c r="G3" s="18" t="s">
        <v>93</v>
      </c>
      <c r="H3" s="18" t="s">
        <v>93</v>
      </c>
      <c r="I3" s="18" t="s">
        <v>93</v>
      </c>
      <c r="J3" s="18" t="s">
        <v>93</v>
      </c>
      <c r="K3" s="18" t="s">
        <v>93</v>
      </c>
      <c r="L3" s="19" t="s">
        <v>94</v>
      </c>
      <c r="M3" s="19" t="s">
        <v>91</v>
      </c>
      <c r="N3" s="19" t="s">
        <v>95</v>
      </c>
    </row>
    <row r="4" spans="1:14" ht="15.6" x14ac:dyDescent="0.3">
      <c r="A4" s="8" t="s">
        <v>1</v>
      </c>
      <c r="B4" s="7" t="s">
        <v>39</v>
      </c>
      <c r="C4" s="7" t="s">
        <v>40</v>
      </c>
      <c r="D4" s="7"/>
      <c r="E4" s="7"/>
      <c r="F4" s="7"/>
      <c r="G4" s="7"/>
      <c r="H4" s="7"/>
      <c r="I4" s="7"/>
      <c r="J4" s="7" t="s">
        <v>80</v>
      </c>
      <c r="K4" s="7" t="s">
        <v>83</v>
      </c>
      <c r="L4" s="7" t="s">
        <v>41</v>
      </c>
      <c r="M4" s="7" t="s">
        <v>41</v>
      </c>
      <c r="N4" s="7" t="s">
        <v>41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DEF3C-526B-4ABF-B271-76D37B284C66}">
  <dimension ref="A1:B5"/>
  <sheetViews>
    <sheetView workbookViewId="0">
      <selection activeCell="C16" sqref="C16"/>
    </sheetView>
  </sheetViews>
  <sheetFormatPr defaultRowHeight="14.4" x14ac:dyDescent="0.3"/>
  <cols>
    <col min="1" max="1" width="34.296875" customWidth="1"/>
    <col min="2" max="2" width="12.5" customWidth="1"/>
  </cols>
  <sheetData>
    <row r="1" spans="1:2" x14ac:dyDescent="0.3">
      <c r="A1" t="s">
        <v>43</v>
      </c>
      <c r="B1" t="s">
        <v>52</v>
      </c>
    </row>
    <row r="2" spans="1:2" x14ac:dyDescent="0.3">
      <c r="A2" t="s">
        <v>45</v>
      </c>
      <c r="B2" t="s">
        <v>53</v>
      </c>
    </row>
    <row r="3" spans="1:2" x14ac:dyDescent="0.3">
      <c r="A3" t="s">
        <v>46</v>
      </c>
      <c r="B3" t="s">
        <v>54</v>
      </c>
    </row>
    <row r="4" spans="1:2" x14ac:dyDescent="0.3">
      <c r="A4" t="s">
        <v>47</v>
      </c>
      <c r="B4" t="s">
        <v>55</v>
      </c>
    </row>
    <row r="5" spans="1:2" x14ac:dyDescent="0.3">
      <c r="A5" t="s">
        <v>48</v>
      </c>
      <c r="B5" t="s">
        <v>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申請全聯貨號主表</vt:lpstr>
      <vt:lpstr>商品圖片</vt:lpstr>
      <vt:lpstr>提報參數(隱藏)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Chimoon_Kao(高千月)</dc:creator>
  <cp:lastModifiedBy>chimoon kao</cp:lastModifiedBy>
  <dcterms:created xsi:type="dcterms:W3CDTF">2025-09-02T08:02:36Z</dcterms:created>
  <dcterms:modified xsi:type="dcterms:W3CDTF">2026-07-29T09:26:35Z</dcterms:modified>
</cp:coreProperties>
</file>